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tart Here" sheetId="1" state="visible" r:id="rId1"/>
    <sheet name="💰 Monthly Budget" sheetId="2" state="visible" r:id="rId2"/>
    <sheet name="📊 Money Map" sheetId="3" state="visible" r:id="rId3"/>
    <sheet name="💳 Debt Snowball" sheetId="4" state="visible" r:id="rId4"/>
    <sheet name="📅 Bi-Weekly Splitter" sheetId="5" state="visible" r:id="rId5"/>
    <sheet name="🔍 Subscription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D4A017"/>
      <sz val="18"/>
    </font>
    <font>
      <name val="Calibri"/>
      <color rgb="00FFFFFF"/>
      <sz val="11"/>
    </font>
    <font>
      <name val="Calibri"/>
      <b val="1"/>
      <color rgb="001B2A4A"/>
      <sz val="10"/>
    </font>
    <font>
      <name val="Calibri"/>
      <color rgb="002C3E50"/>
      <sz val="10"/>
    </font>
    <font>
      <name val="Calibri"/>
      <b val="1"/>
      <color rgb="00FFFFFF"/>
      <sz val="11"/>
    </font>
    <font>
      <name val="Calibri"/>
      <b val="1"/>
      <color rgb="00D4A017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C3E50"/>
      <sz val="9"/>
    </font>
    <font>
      <name val="Calibri"/>
      <b val="1"/>
      <color rgb="001B2A4A"/>
      <sz val="11"/>
    </font>
    <font>
      <name val="Calibri"/>
      <b val="1"/>
      <color rgb="00D4A017"/>
      <sz val="13"/>
    </font>
    <font>
      <name val="Calibri"/>
      <b val="1"/>
      <color rgb="0027AE60"/>
      <sz val="10"/>
    </font>
    <font>
      <name val="Calibri"/>
      <color rgb="00E74C3C"/>
      <sz val="10"/>
    </font>
    <font>
      <name val="Calibri"/>
      <b val="1"/>
      <color rgb="00D4A017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4A017"/>
      </patternFill>
    </fill>
    <fill>
      <patternFill patternType="solid">
        <fgColor rgb="00F4F6FB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thin">
        <color rgb="001B2A4A"/>
      </top>
      <bottom style="thin">
        <color rgb="001B2A4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164" fontId="10" fillId="8" borderId="0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Spending Breakdown</a:t>
            </a:r>
          </a:p>
        </rich>
      </tx>
    </title>
    <plotArea>
      <pieChart>
        <varyColors val="1"/>
        <ser>
          <idx val="0"/>
          <order val="0"/>
          <tx>
            <strRef>
              <f>'📊 Money Map'!C3</f>
            </strRef>
          </tx>
          <spPr>
            <a:ln>
              <a:prstDash val="solid"/>
            </a:ln>
          </spPr>
          <cat>
            <numRef>
              <f>'📊 Money Map'!$B$4:$B$10</f>
            </numRef>
          </cat>
          <val>
            <numRef>
              <f>'📊 Money Map'!$C$4:$C$10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35" customWidth="1" min="3" max="3"/>
  </cols>
  <sheetData>
    <row r="1" ht="10" customHeight="1"/>
    <row r="2">
      <c r="B2" s="1" t="inlineStr">
        <is>
          <t>THE PAYCHECK RESET</t>
        </is>
      </c>
    </row>
    <row r="3">
      <c r="B3" s="2" t="inlineStr">
        <is>
          <t>Your Complete Budget Toolkit — Set Up in 12 Minutes</t>
        </is>
      </c>
    </row>
    <row r="6" ht="22" customHeight="1">
      <c r="B6" s="3" t="inlineStr">
        <is>
          <t xml:space="preserve">  STEP 1: Go to the '💰 Monthly Budget' tab</t>
        </is>
      </c>
    </row>
    <row r="7" ht="18" customHeight="1">
      <c r="B7" s="4" t="inlineStr">
        <is>
          <t xml:space="preserve">  Enter your monthly income in the yellow cell (B4)</t>
        </is>
      </c>
    </row>
    <row r="8" ht="22" customHeight="1">
      <c r="B8" s="3" t="inlineStr">
        <is>
          <t xml:space="preserve">  STEP 2: Fill in your fixed expenses</t>
        </is>
      </c>
    </row>
    <row r="9" ht="18" customHeight="1">
      <c r="B9" s="4" t="inlineStr">
        <is>
          <t xml:space="preserve">  Rent, subscriptions, loan payments — things that don't change</t>
        </is>
      </c>
    </row>
    <row r="10" ht="22" customHeight="1">
      <c r="B10" s="3" t="inlineStr">
        <is>
          <t xml:space="preserve">  STEP 3: Track variable spending</t>
        </is>
      </c>
    </row>
    <row r="11" ht="18" customHeight="1">
      <c r="B11" s="4" t="inlineStr">
        <is>
          <t xml:space="preserve">  Groceries, gas, dining, entertainment — estimate if unsure</t>
        </is>
      </c>
    </row>
    <row r="12" ht="22" customHeight="1">
      <c r="B12" s="3" t="inlineStr">
        <is>
          <t xml:space="preserve">  STEP 4: Check your 'Money Map' tab</t>
        </is>
      </c>
    </row>
    <row r="13" ht="18" customHeight="1">
      <c r="B13" s="4" t="inlineStr">
        <is>
          <t xml:space="preserve">  Your pie chart auto-generates to show where money goes</t>
        </is>
      </c>
    </row>
    <row r="14" ht="22" customHeight="1">
      <c r="B14" s="3" t="inlineStr">
        <is>
          <t xml:space="preserve">  STEP 5: Add debts to '💳 Debt Snowball'</t>
        </is>
      </c>
    </row>
    <row r="15" ht="18" customHeight="1">
      <c r="B15" s="4" t="inlineStr">
        <is>
          <t xml:space="preserve">  Enter balances + rates — payoff date calculates automatically</t>
        </is>
      </c>
    </row>
    <row r="16" ht="22" customHeight="1">
      <c r="B16" s="3" t="inlineStr">
        <is>
          <t xml:space="preserve">  STEP 6: Run the '🔍 Subscription Audit'</t>
        </is>
      </c>
    </row>
    <row r="17" ht="18" customHeight="1">
      <c r="B17" s="4" t="inlineStr">
        <is>
          <t xml:space="preserve">  Find hidden recurring charges bleeding your account</t>
        </is>
      </c>
    </row>
    <row r="18" ht="22" customHeight="1">
      <c r="B18" s="3" t="inlineStr">
        <is>
          <t xml:space="preserve">  STEP 7: Bookmark this file</t>
        </is>
      </c>
    </row>
    <row r="19" ht="18" customHeight="1">
      <c r="B19" s="4" t="inlineStr">
        <is>
          <t xml:space="preserve">  Come back weekly for your 10-minute money check-in</t>
        </is>
      </c>
    </row>
    <row r="21" ht="15" customHeight="1"/>
    <row r="22">
      <c r="B22" s="5" t="inlineStr">
        <is>
          <t xml:space="preserve">  ⭐ You've got this. Your financial reset starts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3" customWidth="1" min="6" max="6"/>
  </cols>
  <sheetData>
    <row r="1" ht="28" customHeight="1">
      <c r="B1" s="6" t="inlineStr">
        <is>
          <t>MONTHLY BUDGET TRACKER</t>
        </is>
      </c>
    </row>
    <row r="3">
      <c r="B3" s="7" t="inlineStr">
        <is>
          <t>INCOME</t>
        </is>
      </c>
      <c r="C3" s="7" t="inlineStr">
        <is>
          <t>BUDGETED</t>
        </is>
      </c>
      <c r="D3" s="7" t="inlineStr">
        <is>
          <t>ACTUAL</t>
        </is>
      </c>
      <c r="E3" s="7" t="inlineStr">
        <is>
          <t>DIFFERENCE</t>
        </is>
      </c>
    </row>
    <row r="4">
      <c r="B4" s="8" t="inlineStr">
        <is>
          <t>Primary Job (Take-Home)</t>
        </is>
      </c>
      <c r="C4" s="9" t="n">
        <v>0</v>
      </c>
      <c r="D4" s="9" t="n">
        <v>0</v>
      </c>
      <c r="E4" s="10">
        <f>D4-C4</f>
        <v/>
      </c>
    </row>
    <row r="5">
      <c r="B5" s="8" t="inlineStr">
        <is>
          <t>Side Income / Freelance</t>
        </is>
      </c>
      <c r="C5" s="9" t="n">
        <v>0</v>
      </c>
      <c r="D5" s="9" t="n">
        <v>0</v>
      </c>
      <c r="E5" s="10">
        <f>D5-C5</f>
        <v/>
      </c>
    </row>
    <row r="6">
      <c r="B6" s="8" t="inlineStr">
        <is>
          <t>Other Income</t>
        </is>
      </c>
      <c r="C6" s="9" t="n">
        <v>0</v>
      </c>
      <c r="D6" s="9" t="n">
        <v>0</v>
      </c>
      <c r="E6" s="10">
        <f>D6-C6</f>
        <v/>
      </c>
    </row>
    <row r="7">
      <c r="B7" s="11" t="inlineStr">
        <is>
          <t>TOTAL INCOME</t>
        </is>
      </c>
      <c r="C7" s="12">
        <f>SUM(C4:C6)</f>
        <v/>
      </c>
      <c r="D7" s="12">
        <f>SUM(D4:D6)</f>
        <v/>
      </c>
      <c r="E7" s="12">
        <f>SUM(E4:E6)</f>
        <v/>
      </c>
    </row>
    <row r="8">
      <c r="B8" s="13" t="n"/>
      <c r="C8" s="13" t="n"/>
      <c r="D8" s="13" t="n"/>
      <c r="E8" s="13" t="n"/>
    </row>
    <row r="9">
      <c r="B9" s="14" t="inlineStr">
        <is>
          <t>HOUSING</t>
        </is>
      </c>
      <c r="C9" s="15" t="inlineStr"/>
      <c r="D9" s="15" t="inlineStr"/>
      <c r="E9" s="15" t="inlineStr"/>
    </row>
    <row r="10">
      <c r="B10" s="8" t="inlineStr">
        <is>
          <t>Rent / Mortgage</t>
        </is>
      </c>
      <c r="C10" s="16" t="n">
        <v>0</v>
      </c>
      <c r="D10" s="16" t="n">
        <v>0</v>
      </c>
      <c r="E10" s="10">
        <f>D10-C10</f>
        <v/>
      </c>
    </row>
    <row r="11">
      <c r="B11" s="17" t="inlineStr">
        <is>
          <t>Utilities (Electric/Gas)</t>
        </is>
      </c>
      <c r="C11" s="9" t="n">
        <v>0</v>
      </c>
      <c r="D11" s="9" t="n">
        <v>0</v>
      </c>
      <c r="E11" s="10">
        <f>D11-C11</f>
        <v/>
      </c>
    </row>
    <row r="12">
      <c r="B12" s="8" t="inlineStr">
        <is>
          <t>Internet</t>
        </is>
      </c>
      <c r="C12" s="16" t="n">
        <v>0</v>
      </c>
      <c r="D12" s="16" t="n">
        <v>0</v>
      </c>
      <c r="E12" s="10">
        <f>D12-C12</f>
        <v/>
      </c>
    </row>
    <row r="13">
      <c r="B13" s="17" t="inlineStr">
        <is>
          <t>Renter's Insurance</t>
        </is>
      </c>
      <c r="C13" s="9" t="n">
        <v>0</v>
      </c>
      <c r="D13" s="9" t="n">
        <v>0</v>
      </c>
      <c r="E13" s="10">
        <f>D13-C13</f>
        <v/>
      </c>
    </row>
    <row r="14">
      <c r="B14" s="8" t="inlineStr">
        <is>
          <t>Phone</t>
        </is>
      </c>
      <c r="C14" s="16" t="n">
        <v>0</v>
      </c>
      <c r="D14" s="16" t="n">
        <v>0</v>
      </c>
      <c r="E14" s="10">
        <f>D14-C14</f>
        <v/>
      </c>
    </row>
    <row r="15">
      <c r="B15" s="18" t="inlineStr">
        <is>
          <t xml:space="preserve">  HOUSING SUBTOTAL</t>
        </is>
      </c>
      <c r="C15" s="19">
        <f>SUM(C10:C14)</f>
        <v/>
      </c>
      <c r="D15" s="19">
        <f>SUM(D10:D14)</f>
        <v/>
      </c>
      <c r="E15" s="19">
        <f>SUM(E10:E14)</f>
        <v/>
      </c>
    </row>
    <row r="16">
      <c r="B16" s="13" t="n"/>
      <c r="C16" s="13" t="n"/>
      <c r="D16" s="13" t="n"/>
      <c r="E16" s="13" t="n"/>
    </row>
    <row r="17">
      <c r="B17" s="14" t="inlineStr">
        <is>
          <t>TRANSPORTATION</t>
        </is>
      </c>
      <c r="C17" s="15" t="inlineStr"/>
      <c r="D17" s="15" t="inlineStr"/>
      <c r="E17" s="15" t="inlineStr"/>
    </row>
    <row r="18">
      <c r="B18" s="8" t="inlineStr">
        <is>
          <t>Car Payment</t>
        </is>
      </c>
      <c r="C18" s="16" t="n">
        <v>0</v>
      </c>
      <c r="D18" s="16" t="n">
        <v>0</v>
      </c>
      <c r="E18" s="10">
        <f>D18-C18</f>
        <v/>
      </c>
    </row>
    <row r="19">
      <c r="B19" s="17" t="inlineStr">
        <is>
          <t>Gas / Fuel</t>
        </is>
      </c>
      <c r="C19" s="9" t="n">
        <v>0</v>
      </c>
      <c r="D19" s="9" t="n">
        <v>0</v>
      </c>
      <c r="E19" s="10">
        <f>D19-C19</f>
        <v/>
      </c>
    </row>
    <row r="20">
      <c r="B20" s="8" t="inlineStr">
        <is>
          <t>Car Insurance</t>
        </is>
      </c>
      <c r="C20" s="16" t="n">
        <v>0</v>
      </c>
      <c r="D20" s="16" t="n">
        <v>0</v>
      </c>
      <c r="E20" s="10">
        <f>D20-C20</f>
        <v/>
      </c>
    </row>
    <row r="21">
      <c r="B21" s="17" t="inlineStr">
        <is>
          <t>Parking / Tolls</t>
        </is>
      </c>
      <c r="C21" s="9" t="n">
        <v>0</v>
      </c>
      <c r="D21" s="9" t="n">
        <v>0</v>
      </c>
      <c r="E21" s="10">
        <f>D21-C21</f>
        <v/>
      </c>
    </row>
    <row r="22">
      <c r="B22" s="8" t="inlineStr">
        <is>
          <t>Maintenance</t>
        </is>
      </c>
      <c r="C22" s="16" t="n">
        <v>0</v>
      </c>
      <c r="D22" s="16" t="n">
        <v>0</v>
      </c>
      <c r="E22" s="10">
        <f>D22-C22</f>
        <v/>
      </c>
    </row>
    <row r="23">
      <c r="B23" s="18" t="inlineStr">
        <is>
          <t xml:space="preserve">  TRANSPORTATION SUBTOTAL</t>
        </is>
      </c>
      <c r="C23" s="19">
        <f>SUM(C18:C22)</f>
        <v/>
      </c>
      <c r="D23" s="19">
        <f>SUM(D18:D22)</f>
        <v/>
      </c>
      <c r="E23" s="19">
        <f>SUM(E18:E22)</f>
        <v/>
      </c>
    </row>
    <row r="24">
      <c r="B24" s="13" t="n"/>
      <c r="C24" s="13" t="n"/>
      <c r="D24" s="13" t="n"/>
      <c r="E24" s="13" t="n"/>
    </row>
    <row r="25">
      <c r="B25" s="14" t="inlineStr">
        <is>
          <t>FOOD</t>
        </is>
      </c>
      <c r="C25" s="15" t="inlineStr"/>
      <c r="D25" s="15" t="inlineStr"/>
      <c r="E25" s="15" t="inlineStr"/>
    </row>
    <row r="26">
      <c r="B26" s="8" t="inlineStr">
        <is>
          <t>Groceries</t>
        </is>
      </c>
      <c r="C26" s="16" t="n">
        <v>0</v>
      </c>
      <c r="D26" s="16" t="n">
        <v>0</v>
      </c>
      <c r="E26" s="10">
        <f>D26-C26</f>
        <v/>
      </c>
    </row>
    <row r="27">
      <c r="B27" s="17" t="inlineStr">
        <is>
          <t>Dining Out / Takeout</t>
        </is>
      </c>
      <c r="C27" s="9" t="n">
        <v>0</v>
      </c>
      <c r="D27" s="9" t="n">
        <v>0</v>
      </c>
      <c r="E27" s="10">
        <f>D27-C27</f>
        <v/>
      </c>
    </row>
    <row r="28">
      <c r="B28" s="8" t="inlineStr">
        <is>
          <t>Coffee / Snacks</t>
        </is>
      </c>
      <c r="C28" s="16" t="n">
        <v>0</v>
      </c>
      <c r="D28" s="16" t="n">
        <v>0</v>
      </c>
      <c r="E28" s="10">
        <f>D28-C28</f>
        <v/>
      </c>
    </row>
    <row r="29">
      <c r="B29" s="17" t="inlineStr">
        <is>
          <t>Work Lunches</t>
        </is>
      </c>
      <c r="C29" s="9" t="n">
        <v>0</v>
      </c>
      <c r="D29" s="9" t="n">
        <v>0</v>
      </c>
      <c r="E29" s="10">
        <f>D29-C29</f>
        <v/>
      </c>
    </row>
    <row r="30">
      <c r="B30" s="18" t="inlineStr">
        <is>
          <t xml:space="preserve">  FOOD SUBTOTAL</t>
        </is>
      </c>
      <c r="C30" s="19">
        <f>SUM(C26:C29)</f>
        <v/>
      </c>
      <c r="D30" s="19">
        <f>SUM(D26:D29)</f>
        <v/>
      </c>
      <c r="E30" s="19">
        <f>SUM(E26:E29)</f>
        <v/>
      </c>
    </row>
    <row r="31">
      <c r="B31" s="13" t="n"/>
      <c r="C31" s="13" t="n"/>
      <c r="D31" s="13" t="n"/>
      <c r="E31" s="13" t="n"/>
    </row>
    <row r="32">
      <c r="B32" s="14" t="inlineStr">
        <is>
          <t>HEALTH</t>
        </is>
      </c>
      <c r="C32" s="15" t="inlineStr"/>
      <c r="D32" s="15" t="inlineStr"/>
      <c r="E32" s="15" t="inlineStr"/>
    </row>
    <row r="33">
      <c r="B33" s="17" t="inlineStr">
        <is>
          <t>Health Insurance</t>
        </is>
      </c>
      <c r="C33" s="9" t="n">
        <v>0</v>
      </c>
      <c r="D33" s="9" t="n">
        <v>0</v>
      </c>
      <c r="E33" s="10">
        <f>D33-C33</f>
        <v/>
      </c>
    </row>
    <row r="34">
      <c r="B34" s="8" t="inlineStr">
        <is>
          <t>Gym Membership</t>
        </is>
      </c>
      <c r="C34" s="16" t="n">
        <v>0</v>
      </c>
      <c r="D34" s="16" t="n">
        <v>0</v>
      </c>
      <c r="E34" s="10">
        <f>D34-C34</f>
        <v/>
      </c>
    </row>
    <row r="35">
      <c r="B35" s="17" t="inlineStr">
        <is>
          <t>Medications</t>
        </is>
      </c>
      <c r="C35" s="9" t="n">
        <v>0</v>
      </c>
      <c r="D35" s="9" t="n">
        <v>0</v>
      </c>
      <c r="E35" s="10">
        <f>D35-C35</f>
        <v/>
      </c>
    </row>
    <row r="36">
      <c r="B36" s="8" t="inlineStr">
        <is>
          <t>Doctor/Dental Co-pays</t>
        </is>
      </c>
      <c r="C36" s="16" t="n">
        <v>0</v>
      </c>
      <c r="D36" s="16" t="n">
        <v>0</v>
      </c>
      <c r="E36" s="10">
        <f>D36-C36</f>
        <v/>
      </c>
    </row>
    <row r="37">
      <c r="B37" s="18" t="inlineStr">
        <is>
          <t xml:space="preserve">  HEALTH SUBTOTAL</t>
        </is>
      </c>
      <c r="C37" s="19">
        <f>SUM(C33:C36)</f>
        <v/>
      </c>
      <c r="D37" s="19">
        <f>SUM(D33:D36)</f>
        <v/>
      </c>
      <c r="E37" s="19">
        <f>SUM(E33:E36)</f>
        <v/>
      </c>
    </row>
    <row r="38">
      <c r="B38" s="13" t="n"/>
      <c r="C38" s="13" t="n"/>
      <c r="D38" s="13" t="n"/>
      <c r="E38" s="13" t="n"/>
    </row>
    <row r="39">
      <c r="B39" s="14" t="inlineStr">
        <is>
          <t>SUBSCRIPTIONS</t>
        </is>
      </c>
      <c r="C39" s="15" t="inlineStr"/>
      <c r="D39" s="15" t="inlineStr"/>
      <c r="E39" s="15" t="inlineStr"/>
    </row>
    <row r="40">
      <c r="B40" s="8" t="inlineStr">
        <is>
          <t>Netflix / Streaming</t>
        </is>
      </c>
      <c r="C40" s="16" t="n">
        <v>0</v>
      </c>
      <c r="D40" s="16" t="n">
        <v>0</v>
      </c>
      <c r="E40" s="10">
        <f>D40-C40</f>
        <v/>
      </c>
    </row>
    <row r="41">
      <c r="B41" s="17" t="inlineStr">
        <is>
          <t>Spotify / Music</t>
        </is>
      </c>
      <c r="C41" s="9" t="n">
        <v>0</v>
      </c>
      <c r="D41" s="9" t="n">
        <v>0</v>
      </c>
      <c r="E41" s="10">
        <f>D41-C41</f>
        <v/>
      </c>
    </row>
    <row r="42">
      <c r="B42" s="8" t="inlineStr">
        <is>
          <t>Amazon Prime</t>
        </is>
      </c>
      <c r="C42" s="16" t="n">
        <v>0</v>
      </c>
      <c r="D42" s="16" t="n">
        <v>0</v>
      </c>
      <c r="E42" s="10">
        <f>D42-C42</f>
        <v/>
      </c>
    </row>
    <row r="43">
      <c r="B43" s="17" t="inlineStr">
        <is>
          <t>Other Subscriptions</t>
        </is>
      </c>
      <c r="C43" s="9" t="n">
        <v>0</v>
      </c>
      <c r="D43" s="9" t="n">
        <v>0</v>
      </c>
      <c r="E43" s="10">
        <f>D43-C43</f>
        <v/>
      </c>
    </row>
    <row r="44">
      <c r="B44" s="18" t="inlineStr">
        <is>
          <t xml:space="preserve">  SUBSCRIPTIONS SUBTOTAL</t>
        </is>
      </c>
      <c r="C44" s="19">
        <f>SUM(C40:C43)</f>
        <v/>
      </c>
      <c r="D44" s="19">
        <f>SUM(D40:D43)</f>
        <v/>
      </c>
      <c r="E44" s="19">
        <f>SUM(E40:E43)</f>
        <v/>
      </c>
    </row>
    <row r="45">
      <c r="B45" s="13" t="n"/>
      <c r="C45" s="13" t="n"/>
      <c r="D45" s="13" t="n"/>
      <c r="E45" s="13" t="n"/>
    </row>
    <row r="46">
      <c r="B46" s="14" t="inlineStr">
        <is>
          <t>PERSONAL</t>
        </is>
      </c>
      <c r="C46" s="15" t="inlineStr"/>
      <c r="D46" s="15" t="inlineStr"/>
      <c r="E46" s="15" t="inlineStr"/>
    </row>
    <row r="47">
      <c r="B47" s="17" t="inlineStr">
        <is>
          <t>Clothing</t>
        </is>
      </c>
      <c r="C47" s="9" t="n">
        <v>0</v>
      </c>
      <c r="D47" s="9" t="n">
        <v>0</v>
      </c>
      <c r="E47" s="10">
        <f>D47-C47</f>
        <v/>
      </c>
    </row>
    <row r="48">
      <c r="B48" s="8" t="inlineStr">
        <is>
          <t>Haircuts / Personal Care</t>
        </is>
      </c>
      <c r="C48" s="16" t="n">
        <v>0</v>
      </c>
      <c r="D48" s="16" t="n">
        <v>0</v>
      </c>
      <c r="E48" s="10">
        <f>D48-C48</f>
        <v/>
      </c>
    </row>
    <row r="49">
      <c r="B49" s="17" t="inlineStr">
        <is>
          <t>Gifts</t>
        </is>
      </c>
      <c r="C49" s="9" t="n">
        <v>0</v>
      </c>
      <c r="D49" s="9" t="n">
        <v>0</v>
      </c>
      <c r="E49" s="10">
        <f>D49-C49</f>
        <v/>
      </c>
    </row>
    <row r="50">
      <c r="B50" s="8" t="inlineStr">
        <is>
          <t>Entertainment</t>
        </is>
      </c>
      <c r="C50" s="16" t="n">
        <v>0</v>
      </c>
      <c r="D50" s="16" t="n">
        <v>0</v>
      </c>
      <c r="E50" s="10">
        <f>D50-C50</f>
        <v/>
      </c>
    </row>
    <row r="51">
      <c r="B51" s="18" t="inlineStr">
        <is>
          <t xml:space="preserve">  PERSONAL SUBTOTAL</t>
        </is>
      </c>
      <c r="C51" s="19">
        <f>SUM(C47:C50)</f>
        <v/>
      </c>
      <c r="D51" s="19">
        <f>SUM(D47:D50)</f>
        <v/>
      </c>
      <c r="E51" s="19">
        <f>SUM(E47:E50)</f>
        <v/>
      </c>
    </row>
    <row r="52">
      <c r="B52" s="13" t="n"/>
      <c r="C52" s="13" t="n"/>
      <c r="D52" s="13" t="n"/>
      <c r="E52" s="13" t="n"/>
    </row>
    <row r="53">
      <c r="B53" s="14" t="inlineStr">
        <is>
          <t>FINANCIAL</t>
        </is>
      </c>
      <c r="C53" s="15" t="inlineStr"/>
      <c r="D53" s="15" t="inlineStr"/>
      <c r="E53" s="15" t="inlineStr"/>
    </row>
    <row r="54">
      <c r="B54" s="8" t="inlineStr">
        <is>
          <t>Emergency Fund</t>
        </is>
      </c>
      <c r="C54" s="16" t="n">
        <v>0</v>
      </c>
      <c r="D54" s="16" t="n">
        <v>0</v>
      </c>
      <c r="E54" s="10">
        <f>D54-C54</f>
        <v/>
      </c>
    </row>
    <row r="55">
      <c r="B55" s="17" t="inlineStr">
        <is>
          <t>Retirement / 401k</t>
        </is>
      </c>
      <c r="C55" s="9" t="n">
        <v>0</v>
      </c>
      <c r="D55" s="9" t="n">
        <v>0</v>
      </c>
      <c r="E55" s="10">
        <f>D55-C55</f>
        <v/>
      </c>
    </row>
    <row r="56">
      <c r="B56" s="8" t="inlineStr">
        <is>
          <t>Debt Extra Payment</t>
        </is>
      </c>
      <c r="C56" s="16" t="n">
        <v>0</v>
      </c>
      <c r="D56" s="16" t="n">
        <v>0</v>
      </c>
      <c r="E56" s="10">
        <f>D56-C56</f>
        <v/>
      </c>
    </row>
    <row r="57">
      <c r="B57" s="17" t="inlineStr">
        <is>
          <t>Savings Goal</t>
        </is>
      </c>
      <c r="C57" s="9" t="n">
        <v>0</v>
      </c>
      <c r="D57" s="9" t="n">
        <v>0</v>
      </c>
      <c r="E57" s="10">
        <f>D57-C57</f>
        <v/>
      </c>
    </row>
    <row r="58">
      <c r="B58" s="18" t="inlineStr">
        <is>
          <t xml:space="preserve">  FINANCIAL SUBTOTAL</t>
        </is>
      </c>
      <c r="C58" s="19">
        <f>SUM(C54:C57)</f>
        <v/>
      </c>
      <c r="D58" s="19">
        <f>SUM(D54:D57)</f>
        <v/>
      </c>
      <c r="E58" s="19">
        <f>SUM(E54:E57)</f>
        <v/>
      </c>
    </row>
    <row r="59">
      <c r="B59" s="13" t="n"/>
      <c r="C59" s="13" t="n"/>
      <c r="D59" s="13" t="n"/>
      <c r="E59" s="13" t="n"/>
    </row>
    <row r="60">
      <c r="B60" s="20" t="inlineStr">
        <is>
          <t>TOTAL EXPENSES</t>
        </is>
      </c>
      <c r="C60" s="21">
        <f>C15+C23+C30+C37+C44+C51+C58</f>
        <v/>
      </c>
      <c r="D60" s="21">
        <f>D15+D23+D30+D37+D44+D51+D58</f>
        <v/>
      </c>
      <c r="E60" s="21">
        <f>E15+E23+E30+E37+E44+E51+E58</f>
        <v/>
      </c>
    </row>
    <row r="61">
      <c r="B61" s="13" t="n"/>
      <c r="C61" s="13" t="n"/>
      <c r="D61" s="13" t="n"/>
      <c r="E61" s="13" t="n"/>
    </row>
    <row r="62">
      <c r="B62" s="22" t="inlineStr">
        <is>
          <t>MONEY LEFT OVER</t>
        </is>
      </c>
      <c r="C62" s="23">
        <f>C7-C60</f>
        <v/>
      </c>
      <c r="D62" s="23">
        <f>D7-D60</f>
        <v/>
      </c>
      <c r="E62" s="23">
        <f>E7-E60</f>
        <v/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</cols>
  <sheetData>
    <row r="1">
      <c r="B1" s="6" t="inlineStr">
        <is>
          <t>WHERE YOUR MONEY GOES</t>
        </is>
      </c>
    </row>
    <row r="3">
      <c r="B3" s="24" t="inlineStr">
        <is>
          <t>CATEGORY</t>
        </is>
      </c>
      <c r="C3" s="24" t="inlineStr">
        <is>
          <t>AMOUNT</t>
        </is>
      </c>
    </row>
    <row r="4">
      <c r="B4" s="4" t="inlineStr">
        <is>
          <t>HOUSING</t>
        </is>
      </c>
      <c r="C4" s="25" t="n">
        <v>150</v>
      </c>
    </row>
    <row r="5">
      <c r="B5" s="26" t="inlineStr">
        <is>
          <t>TRANSPORTATION</t>
        </is>
      </c>
      <c r="C5" s="27" t="n">
        <v>80</v>
      </c>
    </row>
    <row r="6">
      <c r="B6" s="4" t="inlineStr">
        <is>
          <t>FOOD</t>
        </is>
      </c>
      <c r="C6" s="25" t="n">
        <v>60</v>
      </c>
    </row>
    <row r="7">
      <c r="B7" s="26" t="inlineStr">
        <is>
          <t>HEALTH</t>
        </is>
      </c>
      <c r="C7" s="27" t="n">
        <v>45</v>
      </c>
    </row>
    <row r="8">
      <c r="B8" s="4" t="inlineStr">
        <is>
          <t>SUBSCRIPTIONS</t>
        </is>
      </c>
      <c r="C8" s="25" t="n">
        <v>40</v>
      </c>
    </row>
    <row r="9">
      <c r="B9" s="26" t="inlineStr">
        <is>
          <t>PERSONAL</t>
        </is>
      </c>
      <c r="C9" s="27" t="n">
        <v>35</v>
      </c>
    </row>
    <row r="10">
      <c r="B10" s="4" t="inlineStr">
        <is>
          <t>FINANCIAL</t>
        </is>
      </c>
      <c r="C10" s="25" t="n">
        <v>50</v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>
      <c r="B1" s="6" t="inlineStr">
        <is>
          <t>DEBT SNOWBALL TRACKER</t>
        </is>
      </c>
    </row>
    <row r="3">
      <c r="B3" s="7" t="inlineStr">
        <is>
          <t>DEBT NAME</t>
        </is>
      </c>
      <c r="C3" s="7" t="inlineStr">
        <is>
          <t>BALANCE</t>
        </is>
      </c>
      <c r="D3" s="7" t="inlineStr">
        <is>
          <t>RATE %</t>
        </is>
      </c>
      <c r="E3" s="7" t="inlineStr">
        <is>
          <t>MIN PAYMENT</t>
        </is>
      </c>
      <c r="F3" s="7" t="inlineStr">
        <is>
          <t>EXTRA PAYMENT</t>
        </is>
      </c>
      <c r="G3" s="7" t="inlineStr">
        <is>
          <t>MONTHS TO PAYOFF</t>
        </is>
      </c>
    </row>
    <row r="4">
      <c r="B4" s="8" t="inlineStr">
        <is>
          <t>Credit Card 1</t>
        </is>
      </c>
      <c r="C4" s="16" t="n">
        <v>0</v>
      </c>
      <c r="D4" s="28" t="n">
        <v>0</v>
      </c>
      <c r="E4" s="16" t="n">
        <v>0</v>
      </c>
      <c r="F4" s="16" t="n">
        <v>0</v>
      </c>
      <c r="G4" s="29">
        <f>IFERROR(CEILING(-NPER(D4/12,E4+F4,-C4),1),"Enter data")</f>
        <v/>
      </c>
    </row>
    <row r="5">
      <c r="B5" s="17" t="inlineStr">
        <is>
          <t>Credit Card 2</t>
        </is>
      </c>
      <c r="C5" s="9" t="n">
        <v>0</v>
      </c>
      <c r="D5" s="30" t="n">
        <v>0</v>
      </c>
      <c r="E5" s="9" t="n">
        <v>0</v>
      </c>
      <c r="F5" s="9" t="n">
        <v>0</v>
      </c>
      <c r="G5" s="31">
        <f>IFERROR(CEILING(-NPER(D5/12,E5+F5,-C5),1),"Enter data")</f>
        <v/>
      </c>
    </row>
    <row r="6">
      <c r="B6" s="8" t="inlineStr">
        <is>
          <t>Student Loan</t>
        </is>
      </c>
      <c r="C6" s="16" t="n">
        <v>0</v>
      </c>
      <c r="D6" s="28" t="n">
        <v>0</v>
      </c>
      <c r="E6" s="16" t="n">
        <v>0</v>
      </c>
      <c r="F6" s="16" t="n">
        <v>0</v>
      </c>
      <c r="G6" s="29">
        <f>IFERROR(CEILING(-NPER(D6/12,E6+F6,-C6),1),"Enter data")</f>
        <v/>
      </c>
    </row>
    <row r="7">
      <c r="B7" s="17" t="inlineStr">
        <is>
          <t>Car Loan</t>
        </is>
      </c>
      <c r="C7" s="9" t="n">
        <v>0</v>
      </c>
      <c r="D7" s="30" t="n">
        <v>0</v>
      </c>
      <c r="E7" s="9" t="n">
        <v>0</v>
      </c>
      <c r="F7" s="9" t="n">
        <v>0</v>
      </c>
      <c r="G7" s="31">
        <f>IFERROR(CEILING(-NPER(D7/12,E7+F7,-C7),1),"Enter data")</f>
        <v/>
      </c>
    </row>
    <row r="8">
      <c r="B8" s="8" t="inlineStr">
        <is>
          <t>Personal Loan</t>
        </is>
      </c>
      <c r="C8" s="16" t="n">
        <v>0</v>
      </c>
      <c r="D8" s="28" t="n">
        <v>0</v>
      </c>
      <c r="E8" s="16" t="n">
        <v>0</v>
      </c>
      <c r="F8" s="16" t="n">
        <v>0</v>
      </c>
      <c r="G8" s="29">
        <f>IFERROR(CEILING(-NPER(D8/12,E8+F8,-C8),1),"Enter data")</f>
        <v/>
      </c>
    </row>
    <row r="9">
      <c r="B9" s="17" t="inlineStr">
        <is>
          <t>Medical Bill</t>
        </is>
      </c>
      <c r="C9" s="9" t="n">
        <v>0</v>
      </c>
      <c r="D9" s="30" t="n">
        <v>0</v>
      </c>
      <c r="E9" s="9" t="n">
        <v>0</v>
      </c>
      <c r="F9" s="9" t="n">
        <v>0</v>
      </c>
      <c r="G9" s="31">
        <f>IFERROR(CEILING(-NPER(D9/12,E9+F9,-C9),1),"Enter data")</f>
        <v/>
      </c>
    </row>
    <row r="10">
      <c r="B10" s="11" t="inlineStr">
        <is>
          <t>TOTALS</t>
        </is>
      </c>
      <c r="C10" s="12">
        <f>SUM(C4:C9)</f>
        <v/>
      </c>
      <c r="D10" s="13" t="n"/>
      <c r="E10" s="12">
        <f>SUM(E4:E9)</f>
        <v/>
      </c>
      <c r="F10" s="12">
        <f>SUM(F4:F9)</f>
        <v/>
      </c>
      <c r="G10" s="13" t="n"/>
    </row>
    <row r="12">
      <c r="B12" s="5" t="inlineStr">
        <is>
          <t>DEBT-FREE DATE ESTIMATE</t>
        </is>
      </c>
      <c r="E12" s="32">
        <f>IFERROR(TEXT(TODAY()+MAX(G4:G9)*30,"MMMM YYYY"),"Add your debts above")</f>
        <v/>
      </c>
    </row>
  </sheetData>
  <mergeCells count="3">
    <mergeCell ref="B12:D12"/>
    <mergeCell ref="E12:G1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B1" s="6" t="inlineStr">
        <is>
          <t>BI-WEEKLY PAYCHECK SPLITTER</t>
        </is>
      </c>
    </row>
    <row r="3">
      <c r="B3" s="33" t="inlineStr">
        <is>
          <t>Enter your take-home pay per paycheck:</t>
        </is>
      </c>
      <c r="D3" s="34" t="n">
        <v>1500</v>
      </c>
    </row>
    <row r="5">
      <c r="B5" s="7" t="inlineStr">
        <is>
          <t>EXPENSE</t>
        </is>
      </c>
      <c r="C5" s="7" t="inlineStr">
        <is>
          <t>MONTHLY AMOUNT</t>
        </is>
      </c>
      <c r="D5" s="7" t="inlineStr">
        <is>
          <t>PAYCHECK 1</t>
        </is>
      </c>
      <c r="E5" s="7" t="inlineStr">
        <is>
          <t>PAYCHECK 2</t>
        </is>
      </c>
    </row>
    <row r="6">
      <c r="B6" s="8" t="inlineStr">
        <is>
          <t>Rent/Mortgage</t>
        </is>
      </c>
      <c r="C6" s="16" t="n">
        <v>0</v>
      </c>
      <c r="D6" s="16">
        <f>C6/2</f>
        <v/>
      </c>
      <c r="E6" s="16">
        <f>C6/2</f>
        <v/>
      </c>
    </row>
    <row r="7">
      <c r="B7" s="17" t="inlineStr">
        <is>
          <t>Utilities</t>
        </is>
      </c>
      <c r="C7" s="9" t="n">
        <v>0</v>
      </c>
      <c r="D7" s="9">
        <f>C7/2</f>
        <v/>
      </c>
      <c r="E7" s="9">
        <f>C7/2</f>
        <v/>
      </c>
    </row>
    <row r="8">
      <c r="B8" s="8" t="inlineStr">
        <is>
          <t>Groceries</t>
        </is>
      </c>
      <c r="C8" s="16" t="n">
        <v>0</v>
      </c>
      <c r="D8" s="16">
        <f>C8/2</f>
        <v/>
      </c>
      <c r="E8" s="16">
        <f>C8/2</f>
        <v/>
      </c>
    </row>
    <row r="9">
      <c r="B9" s="17" t="inlineStr">
        <is>
          <t>Car Payment</t>
        </is>
      </c>
      <c r="C9" s="9" t="n">
        <v>0</v>
      </c>
      <c r="D9" s="9">
        <f>C9/2</f>
        <v/>
      </c>
      <c r="E9" s="9">
        <f>C9/2</f>
        <v/>
      </c>
    </row>
    <row r="10">
      <c r="B10" s="8" t="inlineStr">
        <is>
          <t>Insurance</t>
        </is>
      </c>
      <c r="C10" s="16" t="n">
        <v>0</v>
      </c>
      <c r="D10" s="16">
        <f>C10/2</f>
        <v/>
      </c>
      <c r="E10" s="16">
        <f>C10/2</f>
        <v/>
      </c>
    </row>
    <row r="11">
      <c r="B11" s="17" t="inlineStr">
        <is>
          <t>Phone</t>
        </is>
      </c>
      <c r="C11" s="9" t="n">
        <v>0</v>
      </c>
      <c r="D11" s="9">
        <f>C11/2</f>
        <v/>
      </c>
      <c r="E11" s="9">
        <f>C11/2</f>
        <v/>
      </c>
    </row>
    <row r="12">
      <c r="B12" s="8" t="inlineStr">
        <is>
          <t>Internet</t>
        </is>
      </c>
      <c r="C12" s="16" t="n">
        <v>0</v>
      </c>
      <c r="D12" s="16">
        <f>C12/2</f>
        <v/>
      </c>
      <c r="E12" s="16">
        <f>C12/2</f>
        <v/>
      </c>
    </row>
    <row r="13">
      <c r="B13" s="17" t="inlineStr">
        <is>
          <t>Savings</t>
        </is>
      </c>
      <c r="C13" s="9" t="n">
        <v>0</v>
      </c>
      <c r="D13" s="9">
        <f>C13/2</f>
        <v/>
      </c>
      <c r="E13" s="9">
        <f>C13/2</f>
        <v/>
      </c>
    </row>
    <row r="14">
      <c r="B14" s="8" t="inlineStr">
        <is>
          <t>Entertainment</t>
        </is>
      </c>
      <c r="C14" s="16" t="n">
        <v>0</v>
      </c>
      <c r="D14" s="16">
        <f>C14/2</f>
        <v/>
      </c>
      <c r="E14" s="16">
        <f>C14/2</f>
        <v/>
      </c>
    </row>
    <row r="15">
      <c r="B15" s="17" t="inlineStr">
        <is>
          <t>Other</t>
        </is>
      </c>
      <c r="C15" s="9" t="n">
        <v>0</v>
      </c>
      <c r="D15" s="9">
        <f>C15/2</f>
        <v/>
      </c>
      <c r="E15" s="9">
        <f>C15/2</f>
        <v/>
      </c>
    </row>
    <row r="16">
      <c r="B16" s="14" t="inlineStr">
        <is>
          <t>TOTAL BILLS</t>
        </is>
      </c>
      <c r="C16" s="35">
        <f>SUM(C6:C15)</f>
        <v/>
      </c>
      <c r="D16" s="35">
        <f>SUM(D6:D15)</f>
        <v/>
      </c>
      <c r="E16" s="35">
        <f>SUM(E6:E15)</f>
        <v/>
      </c>
    </row>
    <row r="17">
      <c r="B17" s="22" t="inlineStr">
        <is>
          <t>SPENDING MONEY LEFT</t>
        </is>
      </c>
      <c r="C17" s="13" t="n"/>
      <c r="D17" s="23">
        <f>D3-D16</f>
        <v/>
      </c>
      <c r="E17" s="23">
        <f>D3-E16</f>
        <v/>
      </c>
    </row>
  </sheetData>
  <mergeCells count="2">
    <mergeCell ref="B3:C3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4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>
      <c r="B1" s="36" t="inlineStr">
        <is>
          <t>SUBSCRIPTION AUDIT — Find Your Hidden Charges</t>
        </is>
      </c>
    </row>
    <row r="3">
      <c r="B3" s="7" t="inlineStr">
        <is>
          <t>SERVICE</t>
        </is>
      </c>
      <c r="C3" s="7" t="inlineStr">
        <is>
          <t>MONTHLY COST</t>
        </is>
      </c>
      <c r="D3" s="7" t="inlineStr">
        <is>
          <t>LAST USED</t>
        </is>
      </c>
      <c r="E3" s="7" t="inlineStr">
        <is>
          <t>ANNUAL COST</t>
        </is>
      </c>
      <c r="F3" s="7" t="inlineStr">
        <is>
          <t>KEEP?</t>
        </is>
      </c>
      <c r="G3" s="7" t="inlineStr">
        <is>
          <t>CANCEL SAVINGS</t>
        </is>
      </c>
    </row>
    <row r="4">
      <c r="B4" s="8" t="inlineStr">
        <is>
          <t>Netflix</t>
        </is>
      </c>
      <c r="C4" s="16" t="n">
        <v>15.49</v>
      </c>
      <c r="D4" s="29" t="inlineStr">
        <is>
          <t>This month</t>
        </is>
      </c>
      <c r="E4" s="37">
        <f>C4*12</f>
        <v/>
      </c>
      <c r="F4" s="38" t="inlineStr">
        <is>
          <t>YES</t>
        </is>
      </c>
      <c r="G4" s="39">
        <f>IF(F4="NO",E4,0)</f>
        <v/>
      </c>
    </row>
    <row r="5">
      <c r="B5" s="17" t="inlineStr">
        <is>
          <t>Hulu</t>
        </is>
      </c>
      <c r="C5" s="9" t="n">
        <v>17.99</v>
      </c>
      <c r="D5" s="31" t="inlineStr">
        <is>
          <t>This month</t>
        </is>
      </c>
      <c r="E5" s="40">
        <f>C5*12</f>
        <v/>
      </c>
      <c r="F5" s="41" t="inlineStr">
        <is>
          <t>YES</t>
        </is>
      </c>
      <c r="G5" s="42">
        <f>IF(F5="NO",E5,0)</f>
        <v/>
      </c>
    </row>
    <row r="6">
      <c r="B6" s="8" t="inlineStr">
        <is>
          <t>Disney+</t>
        </is>
      </c>
      <c r="C6" s="16" t="n">
        <v>13.99</v>
      </c>
      <c r="D6" s="29" t="inlineStr">
        <is>
          <t>This month</t>
        </is>
      </c>
      <c r="E6" s="37">
        <f>C6*12</f>
        <v/>
      </c>
      <c r="F6" s="38" t="inlineStr">
        <is>
          <t>YES</t>
        </is>
      </c>
      <c r="G6" s="39">
        <f>IF(F6="NO",E6,0)</f>
        <v/>
      </c>
    </row>
    <row r="7">
      <c r="B7" s="17" t="inlineStr">
        <is>
          <t>HBO Max</t>
        </is>
      </c>
      <c r="C7" s="9" t="n">
        <v>15.99</v>
      </c>
      <c r="D7" s="31" t="inlineStr">
        <is>
          <t>This month</t>
        </is>
      </c>
      <c r="E7" s="40">
        <f>C7*12</f>
        <v/>
      </c>
      <c r="F7" s="41" t="inlineStr">
        <is>
          <t>YES</t>
        </is>
      </c>
      <c r="G7" s="42">
        <f>IF(F7="NO",E7,0)</f>
        <v/>
      </c>
    </row>
    <row r="8">
      <c r="B8" s="8" t="inlineStr">
        <is>
          <t>Spotify</t>
        </is>
      </c>
      <c r="C8" s="16" t="n">
        <v>10.99</v>
      </c>
      <c r="D8" s="29" t="inlineStr">
        <is>
          <t>This month</t>
        </is>
      </c>
      <c r="E8" s="37">
        <f>C8*12</f>
        <v/>
      </c>
      <c r="F8" s="38" t="inlineStr">
        <is>
          <t>YES</t>
        </is>
      </c>
      <c r="G8" s="39">
        <f>IF(F8="NO",E8,0)</f>
        <v/>
      </c>
    </row>
    <row r="9">
      <c r="B9" s="17" t="inlineStr">
        <is>
          <t>Apple Music</t>
        </is>
      </c>
      <c r="C9" s="9" t="n">
        <v>10.99</v>
      </c>
      <c r="D9" s="31" t="inlineStr">
        <is>
          <t>This month</t>
        </is>
      </c>
      <c r="E9" s="40">
        <f>C9*12</f>
        <v/>
      </c>
      <c r="F9" s="41" t="inlineStr">
        <is>
          <t>YES</t>
        </is>
      </c>
      <c r="G9" s="42">
        <f>IF(F9="NO",E9,0)</f>
        <v/>
      </c>
    </row>
    <row r="10">
      <c r="B10" s="8" t="inlineStr">
        <is>
          <t>Amazon Prime</t>
        </is>
      </c>
      <c r="C10" s="16" t="n">
        <v>14.99</v>
      </c>
      <c r="D10" s="29" t="inlineStr">
        <is>
          <t>This month</t>
        </is>
      </c>
      <c r="E10" s="37">
        <f>C10*12</f>
        <v/>
      </c>
      <c r="F10" s="38" t="inlineStr">
        <is>
          <t>YES</t>
        </is>
      </c>
      <c r="G10" s="39">
        <f>IF(F10="NO",E10,0)</f>
        <v/>
      </c>
    </row>
    <row r="11">
      <c r="B11" s="17" t="inlineStr">
        <is>
          <t>YouTube Premium</t>
        </is>
      </c>
      <c r="C11" s="9" t="n">
        <v>13.99</v>
      </c>
      <c r="D11" s="31" t="inlineStr">
        <is>
          <t>This month</t>
        </is>
      </c>
      <c r="E11" s="40">
        <f>C11*12</f>
        <v/>
      </c>
      <c r="F11" s="41" t="inlineStr">
        <is>
          <t>YES</t>
        </is>
      </c>
      <c r="G11" s="42">
        <f>IF(F11="NO",E11,0)</f>
        <v/>
      </c>
    </row>
    <row r="12">
      <c r="B12" s="8" t="inlineStr">
        <is>
          <t>Gym Membership</t>
        </is>
      </c>
      <c r="C12" s="16" t="n">
        <v>39.99</v>
      </c>
      <c r="D12" s="29" t="inlineStr">
        <is>
          <t>This month</t>
        </is>
      </c>
      <c r="E12" s="37">
        <f>C12*12</f>
        <v/>
      </c>
      <c r="F12" s="38" t="inlineStr">
        <is>
          <t>YES</t>
        </is>
      </c>
      <c r="G12" s="39">
        <f>IF(F12="NO",E12,0)</f>
        <v/>
      </c>
    </row>
    <row r="13">
      <c r="B13" s="17" t="inlineStr">
        <is>
          <t>iCloud Storage</t>
        </is>
      </c>
      <c r="C13" s="9" t="n">
        <v>2.99</v>
      </c>
      <c r="D13" s="31" t="inlineStr">
        <is>
          <t>This month</t>
        </is>
      </c>
      <c r="E13" s="40">
        <f>C13*12</f>
        <v/>
      </c>
      <c r="F13" s="41" t="inlineStr">
        <is>
          <t>YES</t>
        </is>
      </c>
      <c r="G13" s="42">
        <f>IF(F13="NO",E13,0)</f>
        <v/>
      </c>
    </row>
    <row r="14">
      <c r="B14" s="8" t="inlineStr">
        <is>
          <t>Microsoft 365</t>
        </is>
      </c>
      <c r="C14" s="16" t="n">
        <v>9.99</v>
      </c>
      <c r="D14" s="29" t="inlineStr">
        <is>
          <t>This month</t>
        </is>
      </c>
      <c r="E14" s="37">
        <f>C14*12</f>
        <v/>
      </c>
      <c r="F14" s="38" t="inlineStr">
        <is>
          <t>YES</t>
        </is>
      </c>
      <c r="G14" s="39">
        <f>IF(F14="NO",E14,0)</f>
        <v/>
      </c>
    </row>
    <row r="15">
      <c r="B15" s="17" t="inlineStr">
        <is>
          <t>Adobe Creative</t>
        </is>
      </c>
      <c r="C15" s="9" t="n">
        <v>54.99</v>
      </c>
      <c r="D15" s="31" t="inlineStr">
        <is>
          <t>This month</t>
        </is>
      </c>
      <c r="E15" s="40">
        <f>C15*12</f>
        <v/>
      </c>
      <c r="F15" s="41" t="inlineStr">
        <is>
          <t>YES</t>
        </is>
      </c>
      <c r="G15" s="42">
        <f>IF(F15="NO",E15,0)</f>
        <v/>
      </c>
    </row>
    <row r="16">
      <c r="B16" s="8" t="inlineStr">
        <is>
          <t>Duolingo Plus</t>
        </is>
      </c>
      <c r="C16" s="16" t="n">
        <v>6.99</v>
      </c>
      <c r="D16" s="29" t="inlineStr">
        <is>
          <t>This month</t>
        </is>
      </c>
      <c r="E16" s="37">
        <f>C16*12</f>
        <v/>
      </c>
      <c r="F16" s="38" t="inlineStr">
        <is>
          <t>YES</t>
        </is>
      </c>
      <c r="G16" s="39">
        <f>IF(F16="NO",E16,0)</f>
        <v/>
      </c>
    </row>
    <row r="17">
      <c r="B17" s="17" t="inlineStr">
        <is>
          <t>Dating App</t>
        </is>
      </c>
      <c r="C17" s="9" t="n">
        <v>29.99</v>
      </c>
      <c r="D17" s="31" t="inlineStr">
        <is>
          <t>This month</t>
        </is>
      </c>
      <c r="E17" s="40">
        <f>C17*12</f>
        <v/>
      </c>
      <c r="F17" s="41" t="inlineStr">
        <is>
          <t>YES</t>
        </is>
      </c>
      <c r="G17" s="42">
        <f>IF(F17="NO",E17,0)</f>
        <v/>
      </c>
    </row>
    <row r="18">
      <c r="B18" s="8" t="inlineStr">
        <is>
          <t>VPN Service</t>
        </is>
      </c>
      <c r="C18" s="16" t="n">
        <v>9.99</v>
      </c>
      <c r="D18" s="29" t="inlineStr">
        <is>
          <t>This month</t>
        </is>
      </c>
      <c r="E18" s="37">
        <f>C18*12</f>
        <v/>
      </c>
      <c r="F18" s="38" t="inlineStr">
        <is>
          <t>YES</t>
        </is>
      </c>
      <c r="G18" s="39">
        <f>IF(F18="NO",E18,0)</f>
        <v/>
      </c>
    </row>
    <row r="19">
      <c r="B19" s="20" t="inlineStr">
        <is>
          <t>TOTAL MONTHLY SUBSCRIPTIONS</t>
        </is>
      </c>
      <c r="C19" s="43">
        <f>SUM(C4:C18)</f>
        <v/>
      </c>
      <c r="D19" s="13" t="n"/>
      <c r="E19" s="13" t="n"/>
      <c r="F19" s="13" t="n"/>
      <c r="G19" s="13" t="n"/>
    </row>
    <row r="20">
      <c r="B20" s="44" t="inlineStr">
        <is>
          <t>POTENTIAL ANNUAL SAVINGS (if you cancel NO items)</t>
        </is>
      </c>
      <c r="C20" s="13" t="n"/>
      <c r="D20" s="13" t="n"/>
      <c r="E20" s="13" t="n"/>
      <c r="F20" s="13" t="n"/>
      <c r="G20" s="23">
        <f>SUM(G4:G18)</f>
        <v/>
      </c>
    </row>
  </sheetData>
  <mergeCells count="2">
    <mergeCell ref="B20:F20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2026-03-27T22:48:52Z</dcterms:created>
  <dcterms:modified xsi:type="dcterms:W3CDTF">2026-03-27T22:48:52Z</dcterms:modified>
</cp:coreProperties>
</file>